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8add9d1c4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Stories" sheetId="1" r:id="R16a5c1d16b7e41b9"/>
    <x:sheet xmlns:r="http://schemas.openxmlformats.org/officeDocument/2006/relationships" name="Sprint Summary" sheetId="2" r:id="R3582683e98cc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000000"/>
      <x:name val="Carlito"/>
    </x:font>
    <x:font>
      <x:b/>
      <x:sz val="11"/>
      <x:color rgb="FFC65911"/>
      <x:name val="Carlito"/>
    </x:font>
    <x:font>
      <x:b/>
      <x:sz val="11"/>
      <x:color rgb="FF00A651"/>
      <x:name val="Carlito"/>
    </x:font>
    <x:font>
      <x:b/>
      <x:sz val="11"/>
      <x:color rgb="FF7F7F7F"/>
      <x:name val="Carlito"/>
    </x:font>
    <x:font>
      <x:b/>
      <x:sz val="11"/>
      <x:color rgb="FFFF0000"/>
      <x:name val="Carlito"/>
    </x:font>
    <x:font>
      <x:sz val="11"/>
      <x:color rgb="FFC65911"/>
      <x:name val="Carlito"/>
    </x:font>
    <x:font>
      <x:sz val="11"/>
      <x:color rgb="FF00A651"/>
      <x:name val="Carlito"/>
    </x:font>
    <x:font>
      <x:sz val="11"/>
      <x:color rgb="FF7F7F7F"/>
      <x:name val="Carlito"/>
    </x:font>
    <x:font>
      <x:sz val="11"/>
      <x:color rgb="FFFF0000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7FBFF"/>
      </x:patternFill>
    </x:fill>
    <x:fill>
      <x:patternFill patternType="solid">
        <x:fgColor rgb="FFF8FFF8"/>
      </x:patternFill>
    </x:fill>
    <x:fill>
      <x:patternFill patternType="solid">
        <x:fgColor rgb="FFFFFDF6"/>
      </x:patternFill>
    </x:fill>
    <x:fill>
      <x:patternFill patternType="solid">
        <x:fgColor rgb="FFFFF8F8"/>
      </x:patternFill>
    </x:fill>
    <x:fill>
      <x:patternFill patternType="solid">
        <x:fgColor rgb="FFFAF8FF"/>
      </x:patternFill>
    </x:fill>
    <x:fill>
      <x:patternFill patternType="solid">
        <x:fgColor rgb="FFF7F7F7"/>
      </x:patternFill>
    </x:fill>
  </x:fills>
  <x:borders count="46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4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3" xfId="0" applyNumberFormat="1" applyFont="1" applyFill="1" applyBorder="1" applyAlignment="1">
      <x:alignment horizontal="left" wrapText="1"/>
    </x:xf>
    <x:xf numFmtId="0" fontId="3" fillId="4" borderId="4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vertical="bottom" wrapText="1"/>
    </x:xf>
    <x:xf numFmtId="0" fontId="3" fillId="4" borderId="3" xfId="0" applyNumberFormat="1" applyFont="1" applyFill="1" applyBorder="1" applyAlignment="1">
      <x:alignment horizontal="left" vertical="bottom" wrapText="1"/>
    </x:xf>
    <x:xf numFmtId="0" fontId="3" fillId="4" borderId="4" xfId="0" applyNumberFormat="1" applyFont="1" applyFill="1" applyBorder="1" applyAlignment="1">
      <x:alignment horizontal="left" vertical="bottom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left" wrapText="1"/>
    </x:xf>
    <x:xf numFmtId="0" fontId="3" fillId="4" borderId="6" xfId="0" applyNumberFormat="1" applyFont="1" applyFill="1" applyBorder="1" applyAlignment="1">
      <x:alignment horizontal="left" wrapText="1"/>
    </x:xf>
    <x:xf numFmtId="0" fontId="3" fillId="4" borderId="7" xfId="0" applyNumberFormat="1" applyFont="1" applyFill="1" applyBorder="1" applyAlignment="1">
      <x:alignment horizontal="left" wrapText="1"/>
    </x:xf>
    <x:xf numFmtId="0" fontId="3" fillId="4" borderId="5" xfId="0" applyNumberFormat="1" applyFont="1" applyFill="1" applyBorder="1" applyAlignment="1">
      <x:alignment horizontal="left" vertical="bottom" wrapText="1"/>
    </x:xf>
    <x:xf numFmtId="0" fontId="3" fillId="4" borderId="6" xfId="0" applyNumberFormat="1" applyFont="1" applyFill="1" applyBorder="1" applyAlignment="1">
      <x:alignment horizontal="left" vertical="bottom" wrapText="1"/>
    </x:xf>
    <x:xf numFmtId="0" fontId="3" fillId="4" borderId="7" xfId="0" applyNumberFormat="1" applyFont="1" applyFill="1" applyBorder="1" applyAlignment="1">
      <x:alignment horizontal="left" vertical="bottom" wrapText="1"/>
    </x:xf>
    <x:xf numFmtId="0" fontId="4" fillId="4" borderId="3" xfId="0" applyNumberFormat="1" applyFont="1" applyFill="1" applyBorder="1" applyAlignment="1">
      <x:alignment horizontal="left" vertical="bottom" wrapText="1"/>
    </x:xf>
    <x:xf numFmtId="0" fontId="4" fillId="4" borderId="6" xfId="0" applyNumberFormat="1" applyFont="1" applyFill="1" applyBorder="1" applyAlignment="1">
      <x:alignment horizontal="left" vertical="bottom" wrapText="1"/>
    </x:xf>
    <x:xf numFmtId="0" fontId="5" fillId="4" borderId="3" xfId="0" applyNumberFormat="1" applyFont="1" applyFill="1" applyBorder="1" applyAlignment="1">
      <x:alignment horizontal="left" vertical="bottom" wrapText="1"/>
    </x:xf>
    <x:xf numFmtId="0" fontId="5" fillId="4" borderId="6" xfId="0" applyNumberFormat="1" applyFont="1" applyFill="1" applyBorder="1" applyAlignment="1">
      <x:alignment horizontal="left" vertical="bottom" wrapText="1"/>
    </x:xf>
    <x:xf numFmtId="0" fontId="6" fillId="4" borderId="3" xfId="0" applyNumberFormat="1" applyFont="1" applyFill="1" applyBorder="1" applyAlignment="1">
      <x:alignment horizontal="left" vertical="bottom" wrapText="1"/>
    </x:xf>
    <x:xf numFmtId="0" fontId="6" fillId="4" borderId="6" xfId="0" applyNumberFormat="1" applyFont="1" applyFill="1" applyBorder="1" applyAlignment="1">
      <x:alignment horizontal="left" vertical="bottom" wrapText="1"/>
    </x:xf>
    <x:xf numFmtId="0" fontId="7" fillId="4" borderId="3" xfId="0" applyNumberFormat="1" applyFont="1" applyFill="1" applyBorder="1" applyAlignment="1">
      <x:alignment horizontal="left" vertical="bottom" wrapText="1"/>
    </x:xf>
    <x:xf numFmtId="0" fontId="7" fillId="4" borderId="6" xfId="0" applyNumberFormat="1" applyFont="1" applyFill="1" applyBorder="1" applyAlignment="1">
      <x:alignment horizontal="left" vertical="bottom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0" fillId="0" borderId="21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 applyAlignment="1">
      <x:alignment horizontal="center" vertical="top" wrapText="1"/>
    </x:xf>
    <x:xf numFmtId="0" fontId="0" fillId="0" borderId="23" xfId="0" applyNumberFormat="1" applyFont="1" applyFill="1" applyBorder="1" applyAlignment="1">
      <x:alignment horizontal="center" vertical="top" wrapText="1"/>
    </x:xf>
    <x:xf numFmtId="200" fontId="0" fillId="0" borderId="10" xfId="0" applyNumberFormat="1" applyFont="1" applyFill="1" applyBorder="1" applyAlignment="1">
      <x:alignment horizontal="center" vertical="top" wrapText="1"/>
    </x:xf>
    <x:xf numFmtId="200" fontId="0" fillId="0" borderId="12" xfId="0" applyNumberFormat="1" applyFont="1" applyFill="1" applyBorder="1" applyAlignment="1">
      <x:alignment horizontal="center" vertical="top" wrapText="1"/>
    </x:xf>
    <x:xf numFmtId="200" fontId="0" fillId="0" borderId="15" xfId="0" applyNumberFormat="1" applyFont="1" applyFill="1" applyBorder="1" applyAlignment="1">
      <x:alignment horizontal="center" vertical="top" wrapText="1"/>
    </x:xf>
    <x:xf numFmtId="200" fontId="0" fillId="0" borderId="18" xfId="0" applyNumberFormat="1" applyFont="1" applyFill="1" applyBorder="1" applyAlignment="1">
      <x:alignment horizontal="center" vertical="top" wrapText="1"/>
    </x:xf>
    <x:xf numFmtId="200" fontId="0" fillId="0" borderId="20" xfId="0" applyNumberFormat="1" applyFont="1" applyFill="1" applyBorder="1" applyAlignment="1">
      <x:alignment horizontal="center" vertical="top" wrapText="1"/>
    </x:xf>
    <x:xf numFmtId="200" fontId="0" fillId="0" borderId="23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4" xfId="0" applyNumberFormat="1" applyFont="1" applyFill="1" applyBorder="1" applyAlignment="1">
      <x:alignment horizontal="center" vertical="top" wrapText="1"/>
    </x:xf>
    <x:xf numFmtId="0" fontId="4" fillId="0" borderId="17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2" xfId="0" applyNumberFormat="1" applyFont="1" applyFill="1" applyBorder="1" applyAlignment="1">
      <x:alignment horizontal="center" vertical="top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4" xfId="0" applyNumberFormat="1" applyFont="1" applyFill="1" applyBorder="1" applyAlignment="1">
      <x:alignment horizontal="center" vertical="top" wrapText="1"/>
    </x:xf>
    <x:xf numFmtId="0" fontId="5" fillId="0" borderId="17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22" xfId="0" applyNumberFormat="1" applyFont="1" applyFill="1" applyBorder="1" applyAlignment="1">
      <x:alignment horizontal="center" vertical="top" wrapText="1"/>
    </x:xf>
    <x:xf numFmtId="0" fontId="6" fillId="0" borderId="9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0" borderId="14" xfId="0" applyNumberFormat="1" applyFont="1" applyFill="1" applyBorder="1" applyAlignment="1">
      <x:alignment horizontal="center" vertical="top" wrapText="1"/>
    </x:xf>
    <x:xf numFmtId="0" fontId="6" fillId="0" borderId="17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6" fillId="0" borderId="22" xfId="0" applyNumberFormat="1" applyFont="1" applyFill="1" applyBorder="1" applyAlignment="1">
      <x:alignment horizontal="center" vertical="top" wrapText="1"/>
    </x:xf>
    <x:xf numFmtId="0" fontId="7" fillId="0" borderId="9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7" fillId="0" borderId="14" xfId="0" applyNumberFormat="1" applyFont="1" applyFill="1" applyBorder="1" applyAlignment="1">
      <x:alignment horizontal="center" vertical="top" wrapText="1"/>
    </x:xf>
    <x:xf numFmtId="0" fontId="7" fillId="0" borderId="17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horizontal="center" vertical="top" wrapText="1"/>
    </x:xf>
    <x:xf numFmtId="0" fontId="7" fillId="0" borderId="22" xfId="0" applyNumberFormat="1" applyFont="1" applyFill="1" applyBorder="1" applyAlignment="1">
      <x:alignment horizontal="center" vertical="top" wrapText="1"/>
    </x:xf>
    <x:xf numFmtId="0" fontId="0" fillId="5" borderId="8" xfId="0" applyNumberFormat="1" applyFont="1" applyFill="1" applyBorder="1" applyAlignment="1">
      <x:alignment horizontal="center"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horizontal="center" vertical="top" wrapText="1"/>
    </x:xf>
    <x:xf numFmtId="0" fontId="4" fillId="5" borderId="9" xfId="0" applyNumberFormat="1" applyFont="1" applyFill="1" applyBorder="1" applyAlignment="1">
      <x:alignment horizontal="center" vertical="top" wrapText="1"/>
    </x:xf>
    <x:xf numFmtId="0" fontId="5" fillId="5" borderId="9" xfId="0" applyNumberFormat="1" applyFont="1" applyFill="1" applyBorder="1" applyAlignment="1">
      <x:alignment horizontal="center" vertical="top" wrapText="1"/>
    </x:xf>
    <x:xf numFmtId="0" fontId="6" fillId="5" borderId="9" xfId="0" applyNumberFormat="1" applyFont="1" applyFill="1" applyBorder="1" applyAlignment="1">
      <x:alignment horizontal="center" vertical="top" wrapText="1"/>
    </x:xf>
    <x:xf numFmtId="0" fontId="7" fillId="5" borderId="9" xfId="0" applyNumberFormat="1" applyFont="1" applyFill="1" applyBorder="1" applyAlignment="1">
      <x:alignment horizontal="center" vertical="top" wrapText="1"/>
    </x:xf>
    <x:xf numFmtId="200" fontId="0" fillId="5" borderId="10" xfId="0" applyNumberFormat="1" applyFont="1" applyFill="1" applyBorder="1" applyAlignment="1">
      <x:alignment horizontal="center" vertical="top" wrapText="1"/>
    </x:xf>
    <x:xf numFmtId="0" fontId="0" fillId="5" borderId="1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200" fontId="0" fillId="5" borderId="12" xfId="0" applyNumberFormat="1" applyFont="1" applyFill="1" applyBorder="1" applyAlignment="1">
      <x:alignment horizontal="center" vertical="top" wrapText="1"/>
    </x:xf>
    <x:xf numFmtId="0" fontId="0" fillId="5" borderId="16" xfId="0" applyNumberFormat="1" applyFont="1" applyFill="1" applyBorder="1" applyAlignment="1">
      <x:alignment horizontal="center"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horizontal="center" vertical="top" wrapText="1"/>
    </x:xf>
    <x:xf numFmtId="0" fontId="4" fillId="5" borderId="17" xfId="0" applyNumberFormat="1" applyFont="1" applyFill="1" applyBorder="1" applyAlignment="1">
      <x:alignment horizontal="center" vertical="top" wrapText="1"/>
    </x:xf>
    <x:xf numFmtId="0" fontId="5" fillId="5" borderId="17" xfId="0" applyNumberFormat="1" applyFont="1" applyFill="1" applyBorder="1" applyAlignment="1">
      <x:alignment horizontal="center" vertical="top" wrapText="1"/>
    </x:xf>
    <x:xf numFmtId="0" fontId="6" fillId="5" borderId="17" xfId="0" applyNumberFormat="1" applyFont="1" applyFill="1" applyBorder="1" applyAlignment="1">
      <x:alignment horizontal="center" vertical="top" wrapText="1"/>
    </x:xf>
    <x:xf numFmtId="0" fontId="7" fillId="5" borderId="17" xfId="0" applyNumberFormat="1" applyFont="1" applyFill="1" applyBorder="1" applyAlignment="1">
      <x:alignment horizontal="center" vertical="top" wrapText="1"/>
    </x:xf>
    <x:xf numFmtId="200" fontId="0" fillId="5" borderId="18" xfId="0" applyNumberFormat="1" applyFont="1" applyFill="1" applyBorder="1" applyAlignment="1">
      <x:alignment horizontal="center" vertical="top" wrapText="1"/>
    </x:xf>
    <x:xf numFmtId="0" fontId="0" fillId="5" borderId="19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7" fillId="5" borderId="1" xfId="0" applyNumberFormat="1" applyFont="1" applyFill="1" applyBorder="1" applyAlignment="1">
      <x:alignment horizontal="center" vertical="top" wrapText="1"/>
    </x:xf>
    <x:xf numFmtId="200" fontId="0" fillId="5" borderId="20" xfId="0" applyNumberFormat="1" applyFont="1" applyFill="1" applyBorder="1" applyAlignment="1">
      <x:alignment horizontal="center" vertical="top" wrapText="1"/>
    </x:xf>
    <x:xf numFmtId="0" fontId="0" fillId="6" borderId="1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7" fillId="6" borderId="0" xfId="0" applyNumberFormat="1" applyFont="1" applyFill="1" applyBorder="1" applyAlignment="1">
      <x:alignment horizontal="center" vertical="top" wrapText="1"/>
    </x:xf>
    <x:xf numFmtId="200" fontId="0" fillId="6" borderId="12" xfId="0" applyNumberFormat="1" applyFont="1" applyFill="1" applyBorder="1" applyAlignment="1">
      <x:alignment horizontal="center" vertical="top" wrapText="1"/>
    </x:xf>
    <x:xf numFmtId="0" fontId="0" fillId="6" borderId="19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200" fontId="0" fillId="6" borderId="20" xfId="0" applyNumberFormat="1" applyFont="1" applyFill="1" applyBorder="1" applyAlignment="1">
      <x:alignment horizontal="center" vertical="top" wrapText="1"/>
    </x:xf>
    <x:xf numFmtId="0" fontId="0" fillId="7" borderId="1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200" fontId="0" fillId="7" borderId="12" xfId="0" applyNumberFormat="1" applyFont="1" applyFill="1" applyBorder="1" applyAlignment="1">
      <x:alignment horizontal="center" vertical="top" wrapText="1"/>
    </x:xf>
    <x:xf numFmtId="0" fontId="0" fillId="7" borderId="19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7" fillId="7" borderId="1" xfId="0" applyNumberFormat="1" applyFont="1" applyFill="1" applyBorder="1" applyAlignment="1">
      <x:alignment horizontal="center" vertical="top" wrapText="1"/>
    </x:xf>
    <x:xf numFmtId="200" fontId="0" fillId="7" borderId="20" xfId="0" applyNumberFormat="1" applyFont="1" applyFill="1" applyBorder="1" applyAlignment="1">
      <x:alignment horizontal="center" vertical="top" wrapText="1"/>
    </x:xf>
    <x:xf numFmtId="0" fontId="0" fillId="8" borderId="1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horizontal="center" vertical="top" wrapText="1"/>
    </x:xf>
    <x:xf numFmtId="0" fontId="4" fillId="8" borderId="0" xfId="0" applyNumberFormat="1" applyFont="1" applyFill="1" applyBorder="1" applyAlignment="1">
      <x:alignment horizontal="center" vertical="top" wrapText="1"/>
    </x:xf>
    <x:xf numFmtId="0" fontId="5" fillId="8" borderId="0" xfId="0" applyNumberFormat="1" applyFont="1" applyFill="1" applyBorder="1" applyAlignment="1">
      <x:alignment horizontal="center" vertical="top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7" fillId="8" borderId="0" xfId="0" applyNumberFormat="1" applyFont="1" applyFill="1" applyBorder="1" applyAlignment="1">
      <x:alignment horizontal="center" vertical="top" wrapText="1"/>
    </x:xf>
    <x:xf numFmtId="200" fontId="0" fillId="8" borderId="12" xfId="0" applyNumberFormat="1" applyFont="1" applyFill="1" applyBorder="1" applyAlignment="1">
      <x:alignment horizontal="center" vertical="top" wrapText="1"/>
    </x:xf>
    <x:xf numFmtId="0" fontId="0" fillId="8" borderId="19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horizontal="center" vertical="top" wrapText="1"/>
    </x:xf>
    <x:xf numFmtId="0" fontId="4" fillId="8" borderId="1" xfId="0" applyNumberFormat="1" applyFont="1" applyFill="1" applyBorder="1" applyAlignment="1">
      <x:alignment horizontal="center" vertical="top" wrapText="1"/>
    </x:xf>
    <x:xf numFmtId="0" fontId="5" fillId="8" borderId="1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0" fontId="7" fillId="8" borderId="1" xfId="0" applyNumberFormat="1" applyFont="1" applyFill="1" applyBorder="1" applyAlignment="1">
      <x:alignment horizontal="center" vertical="top" wrapText="1"/>
    </x:xf>
    <x:xf numFmtId="200" fontId="0" fillId="8" borderId="20" xfId="0" applyNumberFormat="1" applyFont="1" applyFill="1" applyBorder="1" applyAlignment="1">
      <x:alignment horizontal="center" vertical="top" wrapText="1"/>
    </x:xf>
    <x:xf numFmtId="0" fontId="0" fillId="9" borderId="1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horizontal="center" vertical="top" wrapText="1"/>
    </x:xf>
    <x:xf numFmtId="0" fontId="4" fillId="9" borderId="0" xfId="0" applyNumberFormat="1" applyFont="1" applyFill="1" applyBorder="1" applyAlignment="1">
      <x:alignment horizontal="center" vertical="top" wrapText="1"/>
    </x:xf>
    <x:xf numFmtId="0" fontId="5" fillId="9" borderId="0" xfId="0" applyNumberFormat="1" applyFont="1" applyFill="1" applyBorder="1" applyAlignment="1">
      <x:alignment horizontal="center"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7" fillId="9" borderId="0" xfId="0" applyNumberFormat="1" applyFont="1" applyFill="1" applyBorder="1" applyAlignment="1">
      <x:alignment horizontal="center" vertical="top" wrapText="1"/>
    </x:xf>
    <x:xf numFmtId="200" fontId="0" fillId="9" borderId="12" xfId="0" applyNumberFormat="1" applyFont="1" applyFill="1" applyBorder="1" applyAlignment="1">
      <x:alignment horizontal="center" vertical="top" wrapText="1"/>
    </x:xf>
    <x:xf numFmtId="0" fontId="0" fillId="9" borderId="19" xfId="0" applyNumberFormat="1" applyFont="1" applyFill="1" applyBorder="1" applyAlignment="1">
      <x:alignment horizontal="center"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horizontal="center" vertical="top" wrapText="1"/>
    </x:xf>
    <x:xf numFmtId="0" fontId="4" fillId="9" borderId="1" xfId="0" applyNumberFormat="1" applyFont="1" applyFill="1" applyBorder="1" applyAlignment="1">
      <x:alignment horizontal="center" vertical="top" wrapText="1"/>
    </x:xf>
    <x:xf numFmtId="0" fontId="5" fillId="9" borderId="1" xfId="0" applyNumberFormat="1" applyFont="1" applyFill="1" applyBorder="1" applyAlignment="1">
      <x:alignment horizontal="center" vertical="top" wrapText="1"/>
    </x:xf>
    <x:xf numFmtId="0" fontId="6" fillId="9" borderId="1" xfId="0" applyNumberFormat="1" applyFont="1" applyFill="1" applyBorder="1" applyAlignment="1">
      <x:alignment horizontal="center" vertical="top" wrapText="1"/>
    </x:xf>
    <x:xf numFmtId="0" fontId="7" fillId="9" borderId="1" xfId="0" applyNumberFormat="1" applyFont="1" applyFill="1" applyBorder="1" applyAlignment="1">
      <x:alignment horizontal="center" vertical="top" wrapText="1"/>
    </x:xf>
    <x:xf numFmtId="200" fontId="0" fillId="9" borderId="20" xfId="0" applyNumberFormat="1" applyFont="1" applyFill="1" applyBorder="1" applyAlignment="1">
      <x:alignment horizontal="center" vertical="top" wrapText="1"/>
    </x:xf>
    <x:xf numFmtId="0" fontId="0" fillId="10" borderId="11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horizontal="center" vertical="top" wrapText="1"/>
    </x:xf>
    <x:xf numFmtId="0" fontId="4" fillId="10" borderId="0" xfId="0" applyNumberFormat="1" applyFont="1" applyFill="1" applyBorder="1" applyAlignment="1">
      <x:alignment horizontal="center" vertical="top" wrapText="1"/>
    </x:xf>
    <x:xf numFmtId="0" fontId="5" fillId="10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horizontal="center" vertical="top" wrapText="1"/>
    </x:xf>
    <x:xf numFmtId="200" fontId="0" fillId="10" borderId="12" xfId="0" applyNumberFormat="1" applyFont="1" applyFill="1" applyBorder="1" applyAlignment="1">
      <x:alignment horizontal="center" vertical="top" wrapText="1"/>
    </x:xf>
    <x:xf numFmtId="0" fontId="0" fillId="10" borderId="13" xfId="0" applyNumberFormat="1" applyFont="1" applyFill="1" applyBorder="1" applyAlignment="1">
      <x:alignment horizontal="center" vertical="top" wrapText="1"/>
    </x:xf>
    <x:xf numFmtId="0" fontId="0" fillId="10" borderId="14" xfId="0" applyNumberFormat="1" applyFont="1" applyFill="1" applyBorder="1" applyAlignment="1">
      <x:alignment vertical="top" wrapText="1"/>
    </x:xf>
    <x:xf numFmtId="0" fontId="0" fillId="10" borderId="14" xfId="0" applyNumberFormat="1" applyFont="1" applyFill="1" applyBorder="1" applyAlignment="1">
      <x:alignment horizontal="center" vertical="top" wrapText="1"/>
    </x:xf>
    <x:xf numFmtId="0" fontId="4" fillId="10" borderId="14" xfId="0" applyNumberFormat="1" applyFont="1" applyFill="1" applyBorder="1" applyAlignment="1">
      <x:alignment horizontal="center" vertical="top" wrapText="1"/>
    </x:xf>
    <x:xf numFmtId="0" fontId="5" fillId="10" borderId="14" xfId="0" applyNumberFormat="1" applyFont="1" applyFill="1" applyBorder="1" applyAlignment="1">
      <x:alignment horizontal="center" vertical="top" wrapText="1"/>
    </x:xf>
    <x:xf numFmtId="0" fontId="6" fillId="10" borderId="14" xfId="0" applyNumberFormat="1" applyFont="1" applyFill="1" applyBorder="1" applyAlignment="1">
      <x:alignment horizontal="center" vertical="top" wrapText="1"/>
    </x:xf>
    <x:xf numFmtId="0" fontId="7" fillId="10" borderId="14" xfId="0" applyNumberFormat="1" applyFont="1" applyFill="1" applyBorder="1" applyAlignment="1">
      <x:alignment horizontal="center" vertical="top" wrapText="1"/>
    </x:xf>
    <x:xf numFmtId="200" fontId="0" fillId="10" borderId="15" xfId="0" applyNumberFormat="1" applyFont="1" applyFill="1" applyBorder="1" applyAlignment="1">
      <x:alignment horizontal="center" vertical="top" wrapText="1"/>
    </x:xf>
    <x:xf numFmtId="0" fontId="0" fillId="10" borderId="19" xfId="0" applyNumberFormat="1" applyFont="1" applyFill="1" applyBorder="1" applyAlignment="1">
      <x:alignment horizontal="center"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horizontal="center" vertical="top" wrapText="1"/>
    </x:xf>
    <x:xf numFmtId="0" fontId="4" fillId="10" borderId="1" xfId="0" applyNumberFormat="1" applyFont="1" applyFill="1" applyBorder="1" applyAlignment="1">
      <x:alignment horizontal="center" vertical="top" wrapText="1"/>
    </x:xf>
    <x:xf numFmtId="0" fontId="5" fillId="10" borderId="1" xfId="0" applyNumberFormat="1" applyFont="1" applyFill="1" applyBorder="1" applyAlignment="1">
      <x:alignment horizontal="center" vertical="top" wrapText="1"/>
    </x:xf>
    <x:xf numFmtId="0" fontId="6" fillId="10" borderId="1" xfId="0" applyNumberFormat="1" applyFont="1" applyFill="1" applyBorder="1" applyAlignment="1">
      <x:alignment horizontal="center" vertical="top" wrapText="1"/>
    </x:xf>
    <x:xf numFmtId="0" fontId="7" fillId="10" borderId="1" xfId="0" applyNumberFormat="1" applyFont="1" applyFill="1" applyBorder="1" applyAlignment="1">
      <x:alignment horizontal="center" vertical="top" wrapText="1"/>
    </x:xf>
    <x:xf numFmtId="200" fontId="0" fillId="10" borderId="20" xfId="0" applyNumberFormat="1" applyFont="1" applyFill="1" applyBorder="1" applyAlignment="1">
      <x:alignment horizontal="center" vertical="top" wrapText="1"/>
    </x:xf>
    <x:xf numFmtId="0" fontId="0" fillId="10" borderId="21" xfId="0" applyNumberFormat="1" applyFont="1" applyFill="1" applyBorder="1" applyAlignment="1">
      <x:alignment horizontal="center" vertical="top" wrapText="1"/>
    </x:xf>
    <x:xf numFmtId="0" fontId="0" fillId="10" borderId="22" xfId="0" applyNumberFormat="1" applyFont="1" applyFill="1" applyBorder="1" applyAlignment="1">
      <x:alignment vertical="top" wrapText="1"/>
    </x:xf>
    <x:xf numFmtId="0" fontId="0" fillId="10" borderId="22" xfId="0" applyNumberFormat="1" applyFont="1" applyFill="1" applyBorder="1" applyAlignment="1">
      <x:alignment horizontal="center" vertical="top" wrapText="1"/>
    </x:xf>
    <x:xf numFmtId="0" fontId="4" fillId="10" borderId="22" xfId="0" applyNumberFormat="1" applyFont="1" applyFill="1" applyBorder="1" applyAlignment="1">
      <x:alignment horizontal="center" vertical="top" wrapText="1"/>
    </x:xf>
    <x:xf numFmtId="0" fontId="5" fillId="10" borderId="22" xfId="0" applyNumberFormat="1" applyFont="1" applyFill="1" applyBorder="1" applyAlignment="1">
      <x:alignment horizontal="center" vertical="top" wrapText="1"/>
    </x:xf>
    <x:xf numFmtId="0" fontId="6" fillId="10" borderId="22" xfId="0" applyNumberFormat="1" applyFont="1" applyFill="1" applyBorder="1" applyAlignment="1">
      <x:alignment horizontal="center" vertical="top" wrapText="1"/>
    </x:xf>
    <x:xf numFmtId="0" fontId="7" fillId="10" borderId="22" xfId="0" applyNumberFormat="1" applyFont="1" applyFill="1" applyBorder="1" applyAlignment="1">
      <x:alignment horizontal="center" vertical="top" wrapText="1"/>
    </x:xf>
    <x:xf numFmtId="200" fontId="0" fillId="10" borderId="23" xfId="0" applyNumberFormat="1" applyFont="1" applyFill="1" applyBorder="1" applyAlignment="1">
      <x:alignment horizontal="center" vertical="top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4" fillId="0" borderId="25" xfId="0" applyNumberFormat="1" applyFont="1" applyFill="1" applyBorder="1"/>
    <x:xf numFmtId="0" fontId="4" fillId="0" borderId="33" xfId="0" applyNumberFormat="1" applyFont="1" applyFill="1" applyBorder="1"/>
    <x:xf numFmtId="0" fontId="8" fillId="0" borderId="25" xfId="0" applyNumberFormat="1" applyFont="1" applyFill="1" applyBorder="1"/>
    <x:xf numFmtId="0" fontId="8" fillId="0" borderId="33" xfId="0" applyNumberFormat="1" applyFont="1" applyFill="1" applyBorder="1"/>
    <x:xf numFmtId="0" fontId="8" fillId="0" borderId="26" xfId="0" applyNumberFormat="1" applyFont="1" applyFill="1" applyBorder="1"/>
    <x:xf numFmtId="0" fontId="8" fillId="0" borderId="34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28" xfId="0" applyNumberFormat="1" applyFont="1" applyFill="1" applyBorder="1"/>
    <x:xf numFmtId="0" fontId="9" fillId="0" borderId="36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28" xfId="0" applyNumberFormat="1" applyFont="1" applyFill="1" applyBorder="1"/>
    <x:xf numFmtId="0" fontId="10" fillId="0" borderId="36" xfId="0" applyNumberFormat="1" applyFont="1" applyFill="1" applyBorder="1"/>
    <x:xf numFmtId="0" fontId="7" fillId="0" borderId="30" xfId="0" applyNumberFormat="1" applyFont="1" applyFill="1" applyBorder="1"/>
    <x:xf numFmtId="0" fontId="7" fillId="0" borderId="38" xfId="0" applyNumberFormat="1" applyFont="1" applyFill="1" applyBorder="1"/>
    <x:xf numFmtId="0" fontId="11" fillId="0" borderId="30" xfId="0" applyNumberFormat="1" applyFont="1" applyFill="1" applyBorder="1"/>
    <x:xf numFmtId="0" fontId="11" fillId="0" borderId="38" xfId="0" applyNumberFormat="1" applyFont="1" applyFill="1" applyBorder="1"/>
    <x:xf numFmtId="0" fontId="11" fillId="0" borderId="31" xfId="0" applyNumberFormat="1" applyFont="1" applyFill="1" applyBorder="1"/>
    <x:xf numFmtId="0" fontId="11" fillId="0" borderId="39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8" fillId="0" borderId="25" xfId="0" applyNumberFormat="1" applyFont="1" applyFill="1" applyBorder="1" applyAlignment="1">
      <x:alignment wrapText="1"/>
    </x:xf>
    <x:xf numFmtId="0" fontId="8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28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7" fillId="0" borderId="30" xfId="0" applyNumberFormat="1" applyFont="1" applyFill="1" applyBorder="1" applyAlignment="1">
      <x:alignment wrapText="1"/>
    </x:xf>
    <x:xf numFmtId="0" fontId="11" fillId="0" borderId="30" xfId="0" applyNumberFormat="1" applyFont="1" applyFill="1" applyBorder="1" applyAlignment="1">
      <x:alignment wrapText="1"/>
    </x:xf>
    <x:xf numFmtId="0" fontId="11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4" fillId="0" borderId="33" xfId="0" applyNumberFormat="1" applyFont="1" applyFill="1" applyBorder="1" applyAlignment="1">
      <x:alignment wrapText="1"/>
    </x:xf>
    <x:xf numFmtId="0" fontId="8" fillId="0" borderId="33" xfId="0" applyNumberFormat="1" applyFont="1" applyFill="1" applyBorder="1" applyAlignment="1">
      <x:alignment wrapText="1"/>
    </x:xf>
    <x:xf numFmtId="0" fontId="8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9" fillId="0" borderId="36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7" fillId="0" borderId="38" xfId="0" applyNumberFormat="1" applyFont="1" applyFill="1" applyBorder="1" applyAlignment="1">
      <x:alignment wrapText="1"/>
    </x:xf>
    <x:xf numFmtId="0" fontId="11" fillId="0" borderId="38" xfId="0" applyNumberFormat="1" applyFont="1" applyFill="1" applyBorder="1" applyAlignment="1">
      <x:alignment wrapText="1"/>
    </x:xf>
    <x:xf numFmtId="0" fontId="11" fillId="0" borderId="39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2" fillId="3" borderId="40" xfId="0" applyNumberFormat="1" applyFont="1" applyFill="1" applyBorder="1"/>
    <x:xf numFmtId="0" fontId="12" fillId="3" borderId="41" xfId="0" applyNumberFormat="1" applyFont="1" applyFill="1" applyBorder="1"/>
    <x:xf numFmtId="0" fontId="12" fillId="3" borderId="42" xfId="0" applyNumberFormat="1" applyFont="1" applyFill="1" applyBorder="1"/>
    <x:xf numFmtId="0" fontId="12" fillId="3" borderId="40" xfId="0" applyNumberFormat="1" applyFont="1" applyFill="1" applyBorder="1" applyAlignment="1">
      <x:alignment wrapText="1"/>
    </x:xf>
    <x:xf numFmtId="0" fontId="12" fillId="3" borderId="41" xfId="0" applyNumberFormat="1" applyFont="1" applyFill="1" applyBorder="1" applyAlignment="1">
      <x:alignment wrapText="1"/>
    </x:xf>
    <x:xf numFmtId="0" fontId="12" fillId="3" borderId="42" xfId="0" applyNumberFormat="1" applyFont="1" applyFill="1" applyBorder="1" applyAlignment="1">
      <x:alignment wrapText="1"/>
    </x:xf>
    <x:xf numFmtId="0" fontId="12" fillId="3" borderId="1" xfId="0" applyNumberFormat="1" applyFont="1" applyFill="1" applyBorder="1"/>
    <x:xf numFmtId="0" fontId="12" fillId="3" borderId="43" xfId="0" applyNumberFormat="1" applyFont="1" applyFill="1" applyBorder="1"/>
    <x:xf numFmtId="0" fontId="12" fillId="3" borderId="44" xfId="0" applyNumberFormat="1" applyFont="1" applyFill="1" applyBorder="1"/>
    <x:xf numFmtId="0" fontId="12" fillId="3" borderId="45" xfId="0" applyNumberFormat="1" applyFont="1" applyFill="1" applyBorder="1"/>
    <x:xf numFmtId="0" fontId="12" fillId="3" borderId="43" xfId="0" applyNumberFormat="1" applyFont="1" applyFill="1" applyBorder="1" applyAlignment="1">
      <x:alignment wrapText="1"/>
    </x:xf>
    <x:xf numFmtId="0" fontId="12" fillId="3" borderId="44" xfId="0" applyNumberFormat="1" applyFont="1" applyFill="1" applyBorder="1" applyAlignment="1">
      <x:alignment wrapText="1"/>
    </x:xf>
    <x:xf numFmtId="0" fontId="12" fillId="3" borderId="45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200" fontId="0" fillId="0" borderId="2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30" xfId="0" applyNumberFormat="1" applyFont="1" applyFill="1" applyBorder="1" applyAlignment="1">
      <x:alignment vertical="top" wrapText="1"/>
    </x:xf>
    <x:xf numFmtId="200" fontId="0" fillId="0" borderId="33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38" xfId="0" applyNumberFormat="1" applyFont="1" applyFill="1" applyBorder="1" applyAlignment="1">
      <x:alignment vertical="top" wrapText="1"/>
    </x:xf>
    <x:xf numFmtId="0" fontId="12" fillId="0" borderId="24" xfId="0" applyNumberFormat="1" applyFont="1" applyFill="1" applyBorder="1" applyAlignment="1">
      <x:alignment vertical="top" wrapText="1"/>
    </x:xf>
    <x:xf numFmtId="0" fontId="12" fillId="0" borderId="27" xfId="0" applyNumberFormat="1" applyFont="1" applyFill="1" applyBorder="1" applyAlignment="1">
      <x:alignment vertical="top" wrapText="1"/>
    </x:xf>
    <x:xf numFmtId="0" fontId="12" fillId="0" borderId="29" xfId="0" applyNumberFormat="1" applyFont="1" applyFill="1" applyBorder="1" applyAlignment="1">
      <x:alignment vertical="top" wrapText="1"/>
    </x:xf>
    <x:xf numFmtId="0" fontId="12" fillId="0" borderId="32" xfId="0" applyNumberFormat="1" applyFont="1" applyFill="1" applyBorder="1" applyAlignment="1">
      <x:alignment vertical="top" wrapText="1"/>
    </x:xf>
    <x:xf numFmtId="0" fontId="12" fillId="0" borderId="35" xfId="0" applyNumberFormat="1" applyFont="1" applyFill="1" applyBorder="1" applyAlignment="1">
      <x:alignment vertical="top" wrapText="1"/>
    </x:xf>
    <x:xf numFmtId="0" fontId="12" fillId="0" borderId="37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horizontal="center" vertical="top" wrapText="1"/>
    </x:xf>
    <x:xf numFmtId="200" fontId="0" fillId="0" borderId="25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0" fontId="0" fillId="0" borderId="30" xfId="0" applyNumberFormat="1" applyFont="1" applyFill="1" applyBorder="1" applyAlignment="1">
      <x:alignment horizontal="center" vertical="top" wrapText="1"/>
    </x:xf>
    <x:xf numFmtId="200" fontId="0" fillId="0" borderId="30" xfId="0" applyNumberFormat="1" applyFont="1" applyFill="1" applyBorder="1" applyAlignment="1">
      <x:alignment horizontal="center" vertical="top" wrapText="1"/>
    </x:xf>
    <x:xf numFmtId="0" fontId="0" fillId="0" borderId="33" xfId="0" applyNumberFormat="1" applyFont="1" applyFill="1" applyBorder="1" applyAlignment="1">
      <x:alignment horizontal="center" vertical="top" wrapText="1"/>
    </x:xf>
    <x:xf numFmtId="200" fontId="0" fillId="0" borderId="33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0" fontId="0" fillId="0" borderId="38" xfId="0" applyNumberFormat="1" applyFont="1" applyFill="1" applyBorder="1" applyAlignment="1">
      <x:alignment horizontal="center" vertical="top" wrapText="1"/>
    </x:xf>
    <x:xf numFmtId="200" fontId="0" fillId="0" borderId="38" xfId="0" applyNumberFormat="1" applyFont="1" applyFill="1" applyBorder="1" applyAlignment="1">
      <x:alignment horizontal="center" vertical="top" wrapText="1"/>
    </x:xf>
    <x:xf numFmtId="0" fontId="12" fillId="4" borderId="0" xfId="0" applyNumberFormat="1" applyFont="1" applyFill="1" applyBorder="1"/>
    <x:xf numFmtId="0" fontId="12" fillId="4" borderId="1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1" xfId="0" applyNumberFormat="1" applyFont="1" applyFill="1" applyBorder="1" applyAlignment="1">
      <x:alignment wrapText="1"/>
    </x:xf>
    <x:xf numFmtId="0" fontId="12" fillId="4" borderId="24" xfId="0" applyNumberFormat="1" applyFont="1" applyFill="1" applyBorder="1" applyAlignment="1">
      <x:alignment wrapText="1"/>
    </x:xf>
    <x:xf numFmtId="0" fontId="12" fillId="4" borderId="2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82c63cf45450a" /><Relationship Type="http://schemas.openxmlformats.org/officeDocument/2006/relationships/theme" Target="/xl/theme/theme1.xml" Id="R1dbe75a5a13444ff" /><Relationship Type="http://schemas.openxmlformats.org/officeDocument/2006/relationships/sharedStrings" Target="/xl/sharedStrings.xml" Id="Rbc1f44f8479b4f9c" /><Relationship Type="http://schemas.openxmlformats.org/officeDocument/2006/relationships/worksheet" Target="/xl/worksheets/sheet1.xml" Id="R16a5c1d16b7e41b9" /><Relationship Type="http://schemas.openxmlformats.org/officeDocument/2006/relationships/worksheet" Target="/xl/worksheets/sheet2.xml" Id="R3582683e98cc44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bfd6091968488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Story Points</c:v>
          </c:tx>
          <c:cat>
            <c:strRef>
              <c:f>'Sprint Summary'!$A$4:$A$9</c:f>
              <c:strCache>
                <c:ptCount val="0"/>
              </c:strCache>
            </c:strRef>
          </c:cat>
          <c:val>
            <c:numRef>
              <c:f>'Sprint Summary'!$D$4:$D$9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bfd6091968488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1ec1b602d0d406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48" hidden="0" customWidth="1"/>
    <x:col min="4" max="4" width="16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18" hidden="0" customWidth="1"/>
    <x:col min="10" max="10" width="24" hidden="0" customWidth="1"/>
    <x:col min="11" max="11" width="42" hidden="0" customWidth="1"/>
    <x:col min="12" max="12" width="28" hidden="0" customWidth="1"/>
    <x:col min="13" max="13" width="10" hidden="0" customWidth="1"/>
    <x:col min="14" max="14" width="13" hidden="0" customWidth="1"/>
  </x:cols>
  <x:sheetData>
    <x:row r="1" ht="30" customHeight="1">
      <x:c r="A1" s="5" t="str">
        <x:v>E-Commerce Microservices — 30 User Stories / 6 Sprint Plan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2" customHeight="1">
      <x:c r="A2" s="14" t="str">
        <x:v>Planning assumption: 6 two-week sprints starting 05.10.2026. By the end of Sprint 6 the complete project should be runnable, tested and documented.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4" ht="44" customHeight="1">
      <x:c r="A4" s="31" t="str">
        <x:v>#story</x:v>
      </x:c>
      <x:c r="B4" s="32" t="str">
        <x:v>story_title</x:v>
      </x:c>
      <x:c r="C4" s="32" t="str">
        <x:v>story description</x:v>
      </x:c>
      <x:c r="D4" s="32" t="str">
        <x:v>story_estimation/
range out of 13</x:v>
      </x:c>
      <x:c r="E4" s="48" t="str">
        <x:v>HC&amp;HV</x:v>
      </x:c>
      <x:c r="F4" s="50" t="str">
        <x:v>LC&amp;HV</x:v>
      </x:c>
      <x:c r="G4" s="52" t="str">
        <x:v>HC&amp;LV</x:v>
      </x:c>
      <x:c r="H4" s="54" t="str">
        <x:v>LC&amp;LV</x:v>
      </x:c>
      <x:c r="I4" s="32" t="str">
        <x:v>User_role</x:v>
      </x:c>
      <x:c r="J4" s="32" t="str">
        <x:v>Pre-Requirements</x:v>
      </x:c>
      <x:c r="K4" s="32" t="str">
        <x:v>QATest</x:v>
      </x:c>
      <x:c r="L4" s="32" t="str">
        <x:v>Responsible person in a team</x:v>
      </x:c>
      <x:c r="M4" s="32" t="str">
        <x:v>Iteration</x:v>
      </x:c>
      <x:c r="N4" s="33" t="str">
        <x:v>Deadline</x:v>
      </x:c>
    </x:row>
    <x:row r="5" ht="60" customHeight="1">
      <x:c r="A5" s="157" t="n">
        <x:v>1</x:v>
      </x:c>
      <x:c r="B5" s="158" t="str">
        <x:v>Service Skeleton &amp; Docker Compose</x:v>
      </x:c>
      <x:c r="C5" s="158" t="str">
        <x:v>As a developer, I want standardized Java 21 / Spring Boot microservices and a shared Docker Compose environment so every component can be started and developed consistently.</x:v>
      </x:c>
      <x:c r="D5" s="159" t="n">
        <x:v>5</x:v>
      </x:c>
      <x:c r="E5" s="160" t="str">
        <x:v>yes</x:v>
      </x:c>
      <x:c r="F5" s="161" t="str"/>
      <x:c r="G5" s="162" t="str"/>
      <x:c r="H5" s="163" t="str"/>
      <x:c r="I5" s="158" t="str">
        <x:v>Developer</x:v>
      </x:c>
      <x:c r="J5" s="158" t="str">
        <x:v>None</x:v>
      </x:c>
      <x:c r="K5" s="158" t="str">
        <x:v>All service containers start; /actuator/health = UP; Java 21 is used; virtual threads are enabled where configured.</x:v>
      </x:c>
      <x:c r="L5" s="158" t="str">
        <x:v>DevOps / Backend Developer</x:v>
      </x:c>
      <x:c r="M5" s="159" t="n">
        <x:v>1</x:v>
      </x:c>
      <x:c r="N5" s="164" t="str">
        <x:v>16.10.2026</x:v>
      </x:c>
    </x:row>
    <x:row r="6" ht="60" customHeight="1">
      <x:c r="A6" s="165" t="n">
        <x:v>2</x:v>
      </x:c>
      <x:c r="B6" s="166" t="str">
        <x:v>Keycloak Realm, Clients &amp; Roles</x:v>
      </x:c>
      <x:c r="C6" s="166" t="str">
        <x:v>As a security administrator, I want Keycloak realm, clients and roles configured so authentication and role management are centralized.</x:v>
      </x:c>
      <x:c r="D6" s="167" t="n">
        <x:v>5</x:v>
      </x:c>
      <x:c r="E6" s="168" t="str"/>
      <x:c r="F6" s="169" t="str">
        <x:v>yes</x:v>
      </x:c>
      <x:c r="G6" s="170" t="str"/>
      <x:c r="H6" s="171" t="str"/>
      <x:c r="I6" s="166" t="str">
        <x:v>Security Admin</x:v>
      </x:c>
      <x:c r="J6" s="166" t="str">
        <x:v>US-01</x:v>
      </x:c>
      <x:c r="K6" s="166" t="str">
        <x:v>User can obtain JWT; CUSTOMER, CATALOG_ADMIN and OPS_ADMIN roles are present in token claims; expired/invalid tokens are rejected.</x:v>
      </x:c>
      <x:c r="L6" s="166" t="str">
        <x:v>Backend / Security Developer</x:v>
      </x:c>
      <x:c r="M6" s="167" t="n">
        <x:v>1</x:v>
      </x:c>
      <x:c r="N6" s="172" t="str">
        <x:v>16.10.2026</x:v>
      </x:c>
    </x:row>
    <x:row r="7" ht="60" customHeight="1">
      <x:c r="A7" s="165" t="n">
        <x:v>3</x:v>
      </x:c>
      <x:c r="B7" s="166" t="str">
        <x:v>Secure API Gateway Routing</x:v>
      </x:c>
      <x:c r="C7" s="166" t="str">
        <x:v>As an API client, I want all external requests routed through Spring Cloud Gateway with JWT validation so internal services are not directly exposed.</x:v>
      </x:c>
      <x:c r="D7" s="167" t="n">
        <x:v>8</x:v>
      </x:c>
      <x:c r="E7" s="168" t="str">
        <x:v>yes</x:v>
      </x:c>
      <x:c r="F7" s="169" t="str"/>
      <x:c r="G7" s="170" t="str"/>
      <x:c r="H7" s="171" t="str"/>
      <x:c r="I7" s="166" t="str">
        <x:v>API Client</x:v>
      </x:c>
      <x:c r="J7" s="166" t="str">
        <x:v>US-01, US-02</x:v>
      </x:c>
      <x:c r="K7" s="166" t="str">
        <x:v>Valid token routes to target service; invalid/missing token returns 401; configured routes resolve correctly.</x:v>
      </x:c>
      <x:c r="L7" s="166" t="str">
        <x:v>Backend Developer</x:v>
      </x:c>
      <x:c r="M7" s="167" t="n">
        <x:v>1</x:v>
      </x:c>
      <x:c r="N7" s="172" t="str">
        <x:v>16.10.2026</x:v>
      </x:c>
    </x:row>
    <x:row r="8" ht="60" customHeight="1">
      <x:c r="A8" s="165" t="n">
        <x:v>4</x:v>
      </x:c>
      <x:c r="B8" s="166" t="str">
        <x:v>Service-Level RBAC</x:v>
      </x:c>
      <x:c r="C8" s="166" t="str">
        <x:v>As a system owner, I want each microservice to enforce role-based authorization so access rules remain valid even if a request reaches a service directly.</x:v>
      </x:c>
      <x:c r="D8" s="167" t="n">
        <x:v>5</x:v>
      </x:c>
      <x:c r="E8" s="168" t="str"/>
      <x:c r="F8" s="169" t="str">
        <x:v>yes</x:v>
      </x:c>
      <x:c r="G8" s="170" t="str"/>
      <x:c r="H8" s="171" t="str"/>
      <x:c r="I8" s="166" t="str">
        <x:v>System Owner</x:v>
      </x:c>
      <x:c r="J8" s="166" t="str">
        <x:v>US-02, US-03</x:v>
      </x:c>
      <x:c r="K8" s="166" t="str">
        <x:v>Protected endpoints return 403 for insufficient roles and 2xx for authorized roles; customer data access is scoped to the current user.</x:v>
      </x:c>
      <x:c r="L8" s="166" t="str">
        <x:v>Backend / Security Developer</x:v>
      </x:c>
      <x:c r="M8" s="167" t="n">
        <x:v>1</x:v>
      </x:c>
      <x:c r="N8" s="172" t="str">
        <x:v>16.10.2026</x:v>
      </x:c>
    </x:row>
    <x:row r="9" ht="60" customHeight="1">
      <x:c r="A9" s="165" t="n">
        <x:v>5</x:v>
      </x:c>
      <x:c r="B9" s="166" t="str">
        <x:v>Observability Baseline</x:v>
      </x:c>
      <x:c r="C9" s="166" t="str">
        <x:v>As an operations engineer, I want Actuator, Micrometer Tracing, OpenTelemetry, Prometheus and Jaeger/Zipkin integration so service health, metrics and distributed traces are visible.</x:v>
      </x:c>
      <x:c r="D9" s="167" t="n">
        <x:v>8</x:v>
      </x:c>
      <x:c r="E9" s="168" t="str">
        <x:v>yes</x:v>
      </x:c>
      <x:c r="F9" s="169" t="str"/>
      <x:c r="G9" s="170" t="str"/>
      <x:c r="H9" s="171" t="str"/>
      <x:c r="I9" s="166" t="str">
        <x:v>Operations Engineer</x:v>
      </x:c>
      <x:c r="J9" s="166" t="str">
        <x:v>US-01</x:v>
      </x:c>
      <x:c r="K9" s="166" t="str">
        <x:v>Prometheus metrics endpoint is available; one request produces a trace spanning Gateway and a downstream service; Trace ID is present in logs.</x:v>
      </x:c>
      <x:c r="L9" s="166" t="str">
        <x:v>DevOps / Backend Developer</x:v>
      </x:c>
      <x:c r="M9" s="167" t="n">
        <x:v>1</x:v>
      </x:c>
      <x:c r="N9" s="172" t="str">
        <x:v>16.10.2026</x:v>
      </x:c>
    </x:row>
    <x:row r="10" ht="60" customHeight="1">
      <x:c r="A10" s="189" t="n">
        <x:v>6</x:v>
      </x:c>
      <x:c r="B10" s="190" t="str">
        <x:v>Catalog Data Model &amp; Flyway</x:v>
      </x:c>
      <x:c r="C10" s="190" t="str">
        <x:v>As a catalog administrator, I want a versioned PostgreSQL schema for products, categories and attributes so catalog data evolves safely.</x:v>
      </x:c>
      <x:c r="D10" s="191" t="n">
        <x:v>5</x:v>
      </x:c>
      <x:c r="E10" s="192" t="str"/>
      <x:c r="F10" s="193" t="str">
        <x:v>yes</x:v>
      </x:c>
      <x:c r="G10" s="194" t="str"/>
      <x:c r="H10" s="195" t="str"/>
      <x:c r="I10" s="190" t="str">
        <x:v>Catalog Admin</x:v>
      </x:c>
      <x:c r="J10" s="190" t="str">
        <x:v>US-01</x:v>
      </x:c>
      <x:c r="K10" s="190" t="str">
        <x:v>Fresh database migrates successfully; repeat startup is idempotent; schema contains required catalog entities and constraints.</x:v>
      </x:c>
      <x:c r="L10" s="190" t="str">
        <x:v>Backend Developer</x:v>
      </x:c>
      <x:c r="M10" s="191" t="n">
        <x:v>2</x:v>
      </x:c>
      <x:c r="N10" s="196" t="str">
        <x:v>30.10.2026</x:v>
      </x:c>
    </x:row>
    <x:row r="11" ht="60" customHeight="1">
      <x:c r="A11" s="189" t="n">
        <x:v>7</x:v>
      </x:c>
      <x:c r="B11" s="190" t="str">
        <x:v>Product &amp; Category Management API</x:v>
      </x:c>
      <x:c r="C11" s="190" t="str">
        <x:v>As a catalog administrator, I want to create, update and deactivate products, categories and attributes so the storefront catalog can be maintained.</x:v>
      </x:c>
      <x:c r="D11" s="191" t="n">
        <x:v>8</x:v>
      </x:c>
      <x:c r="E11" s="192" t="str">
        <x:v>yes</x:v>
      </x:c>
      <x:c r="F11" s="193" t="str"/>
      <x:c r="G11" s="194" t="str"/>
      <x:c r="H11" s="195" t="str"/>
      <x:c r="I11" s="190" t="str">
        <x:v>Catalog Admin</x:v>
      </x:c>
      <x:c r="J11" s="190" t="str">
        <x:v>US-04, US-06</x:v>
      </x:c>
      <x:c r="K11" s="190" t="str">
        <x:v>Authorized admin can create/update/deactivate records; validation errors return 4xx; unauthorized users receive 403.</x:v>
      </x:c>
      <x:c r="L11" s="190" t="str">
        <x:v>Backend Developer</x:v>
      </x:c>
      <x:c r="M11" s="191" t="n">
        <x:v>2</x:v>
      </x:c>
      <x:c r="N11" s="196" t="str">
        <x:v>30.10.2026</x:v>
      </x:c>
    </x:row>
    <x:row r="12" ht="60" customHeight="1">
      <x:c r="A12" s="189" t="n">
        <x:v>8</x:v>
      </x:c>
      <x:c r="B12" s="190" t="str">
        <x:v>Product Browse, Filter &amp; Details</x:v>
      </x:c>
      <x:c r="C12" s="190" t="str">
        <x:v>As a customer, I want paginated product browsing, filtering and detailed product views so I can find items efficiently.</x:v>
      </x:c>
      <x:c r="D12" s="191" t="n">
        <x:v>5</x:v>
      </x:c>
      <x:c r="E12" s="192" t="str"/>
      <x:c r="F12" s="193" t="str">
        <x:v>yes</x:v>
      </x:c>
      <x:c r="G12" s="194" t="str"/>
      <x:c r="H12" s="195" t="str"/>
      <x:c r="I12" s="190" t="str">
        <x:v>Customer</x:v>
      </x:c>
      <x:c r="J12" s="190" t="str">
        <x:v>US-06, US-07</x:v>
      </x:c>
      <x:c r="K12" s="190" t="str">
        <x:v>Pagination and filters return correct results; product details include category/attributes; SQL query count confirms N+1 is avoided with EntityGraph.</x:v>
      </x:c>
      <x:c r="L12" s="190" t="str">
        <x:v>Backend Developer</x:v>
      </x:c>
      <x:c r="M12" s="191" t="n">
        <x:v>2</x:v>
      </x:c>
      <x:c r="N12" s="196" t="str">
        <x:v>30.10.2026</x:v>
      </x:c>
    </x:row>
    <x:row r="13" ht="60" customHeight="1">
      <x:c r="A13" s="189" t="n">
        <x:v>9</x:v>
      </x:c>
      <x:c r="B13" s="190" t="str">
        <x:v>Redis Cache-Aside &amp; Stampede Protection</x:v>
      </x:c>
      <x:c r="C13" s="190" t="str">
        <x:v>As a customer, I want popular product reads to be served quickly and consistently so catalog performance remains stable under concurrent load.</x:v>
      </x:c>
      <x:c r="D13" s="191" t="n">
        <x:v>8</x:v>
      </x:c>
      <x:c r="E13" s="192" t="str">
        <x:v>yes</x:v>
      </x:c>
      <x:c r="F13" s="193" t="str"/>
      <x:c r="G13" s="194" t="str"/>
      <x:c r="H13" s="195" t="str"/>
      <x:c r="I13" s="190" t="str">
        <x:v>Customer</x:v>
      </x:c>
      <x:c r="J13" s="190" t="str">
        <x:v>US-08</x:v>
      </x:c>
      <x:c r="K13" s="190" t="str">
        <x:v>Cache miss loads DB then Redis; updates invalidate cache; concurrent cache miss is protected by Redisson RLock and avoids duplicate DB work.</x:v>
      </x:c>
      <x:c r="L13" s="190" t="str">
        <x:v>Backend Developer</x:v>
      </x:c>
      <x:c r="M13" s="191" t="n">
        <x:v>2</x:v>
      </x:c>
      <x:c r="N13" s="196" t="str">
        <x:v>30.10.2026</x:v>
      </x:c>
    </x:row>
    <x:row r="14" ht="60" customHeight="1">
      <x:c r="A14" s="189" t="n">
        <x:v>10</x:v>
      </x:c>
      <x:c r="B14" s="190" t="str">
        <x:v>Supplier CSV Bulk Import</x:v>
      </x:c>
      <x:c r="C14" s="190" t="str">
        <x:v>As a catalog administrator, I want to import large supplier CSV files with Spring Batch so high-volume catalog updates can be processed reliably.</x:v>
      </x:c>
      <x:c r="D14" s="191" t="n">
        <x:v>8</x:v>
      </x:c>
      <x:c r="E14" s="192" t="str">
        <x:v>yes</x:v>
      </x:c>
      <x:c r="F14" s="193" t="str"/>
      <x:c r="G14" s="194" t="str"/>
      <x:c r="H14" s="195" t="str"/>
      <x:c r="I14" s="190" t="str">
        <x:v>Catalog Admin</x:v>
      </x:c>
      <x:c r="J14" s="190" t="str">
        <x:v>US-06</x:v>
      </x:c>
      <x:c r="K14" s="190" t="str">
        <x:v>Batch job processes file in chunks; invalid rows are reported; job can restart after failure without duplicating completed records.</x:v>
      </x:c>
      <x:c r="L14" s="190" t="str">
        <x:v>Backend Developer</x:v>
      </x:c>
      <x:c r="M14" s="191" t="n">
        <x:v>2</x:v>
      </x:c>
      <x:c r="N14" s="196" t="str">
        <x:v>30.10.2026</x:v>
      </x:c>
    </x:row>
    <x:row r="15" ht="60" customHeight="1">
      <x:c r="A15" s="205" t="n">
        <x:v>11</x:v>
      </x:c>
      <x:c r="B15" s="206" t="str">
        <x:v>Create Order with Product Snapshot</x:v>
      </x:c>
      <x:c r="C15" s="206" t="str">
        <x:v>As a customer, I want to place an order using current catalog items so the order stores an immutable snapshot of product name, quantity and price.</x:v>
      </x:c>
      <x:c r="D15" s="207" t="n">
        <x:v>8</x:v>
      </x:c>
      <x:c r="E15" s="208" t="str">
        <x:v>yes</x:v>
      </x:c>
      <x:c r="F15" s="209" t="str"/>
      <x:c r="G15" s="210" t="str"/>
      <x:c r="H15" s="211" t="str"/>
      <x:c r="I15" s="206" t="str">
        <x:v>Customer</x:v>
      </x:c>
      <x:c r="J15" s="206" t="str">
        <x:v>US-03, US-08</x:v>
      </x:c>
      <x:c r="K15" s="206" t="str">
        <x:v>Valid order calculates totals correctly; item price/name are snapshotted; missing/inactive products are rejected; customer identity comes from JWT.</x:v>
      </x:c>
      <x:c r="L15" s="206" t="str">
        <x:v>Backend Developer</x:v>
      </x:c>
      <x:c r="M15" s="207" t="n">
        <x:v>3</x:v>
      </x:c>
      <x:c r="N15" s="212" t="str">
        <x:v>13.11.2026</x:v>
      </x:c>
    </x:row>
    <x:row r="16" ht="60" customHeight="1">
      <x:c r="A16" s="205" t="n">
        <x:v>12</x:v>
      </x:c>
      <x:c r="B16" s="206" t="str">
        <x:v>Order State Machine</x:v>
      </x:c>
      <x:c r="C16" s="206" t="str">
        <x:v>As a customer and operations user, I want orders to follow explicit allowed status transitions so the lifecycle cannot become inconsistent.</x:v>
      </x:c>
      <x:c r="D16" s="207" t="n">
        <x:v>8</x:v>
      </x:c>
      <x:c r="E16" s="208" t="str">
        <x:v>yes</x:v>
      </x:c>
      <x:c r="F16" s="209" t="str"/>
      <x:c r="G16" s="210" t="str"/>
      <x:c r="H16" s="211" t="str"/>
      <x:c r="I16" s="206" t="str">
        <x:v>Customer / Operations</x:v>
      </x:c>
      <x:c r="J16" s="206" t="str">
        <x:v>US-11</x:v>
      </x:c>
      <x:c r="K16" s="206" t="str">
        <x:v>Allowed transitions succeed; invalid transitions are rejected; status change is persisted with timestamp/history.</x:v>
      </x:c>
      <x:c r="L16" s="206" t="str">
        <x:v>Backend Developer</x:v>
      </x:c>
      <x:c r="M16" s="207" t="n">
        <x:v>3</x:v>
      </x:c>
      <x:c r="N16" s="212" t="str">
        <x:v>13.11.2026</x:v>
      </x:c>
    </x:row>
    <x:row r="17" ht="60" customHeight="1">
      <x:c r="A17" s="205" t="n">
        <x:v>13</x:v>
      </x:c>
      <x:c r="B17" s="206" t="str">
        <x:v>Transactional Outbox Persistence</x:v>
      </x:c>
      <x:c r="C17" s="206" t="str">
        <x:v>As the system, I want order data and its domain event saved in the same PostgreSQL transaction so a committed order cannot exist without a publishable event.</x:v>
      </x:c>
      <x:c r="D17" s="207" t="n">
        <x:v>8</x:v>
      </x:c>
      <x:c r="E17" s="208" t="str">
        <x:v>yes</x:v>
      </x:c>
      <x:c r="F17" s="209" t="str"/>
      <x:c r="G17" s="210" t="str"/>
      <x:c r="H17" s="211" t="str"/>
      <x:c r="I17" s="206" t="str">
        <x:v>System</x:v>
      </x:c>
      <x:c r="J17" s="206" t="str">
        <x:v>US-11, US-12</x:v>
      </x:c>
      <x:c r="K17" s="206" t="str">
        <x:v>Order and outbox row commit atomically; forced rollback leaves neither record; outbox contains eventId, aggregateId, type, payload and timestamp.</x:v>
      </x:c>
      <x:c r="L17" s="206" t="str">
        <x:v>Backend Developer</x:v>
      </x:c>
      <x:c r="M17" s="207" t="n">
        <x:v>3</x:v>
      </x:c>
      <x:c r="N17" s="212" t="str">
        <x:v>13.11.2026</x:v>
      </x:c>
    </x:row>
    <x:row r="18" ht="60" customHeight="1">
      <x:c r="A18" s="205" t="n">
        <x:v>14</x:v>
      </x:c>
      <x:c r="B18" s="206" t="str">
        <x:v>Debezium CDC to Kafka</x:v>
      </x:c>
      <x:c r="C18" s="206" t="str">
        <x:v>As an event consumer, I want Debezium to publish outbox changes to Kafka so downstream services receive OrderCreatedEvent without application dual-write.</x:v>
      </x:c>
      <x:c r="D18" s="207" t="n">
        <x:v>8</x:v>
      </x:c>
      <x:c r="E18" s="208" t="str">
        <x:v>yes</x:v>
      </x:c>
      <x:c r="F18" s="209" t="str"/>
      <x:c r="G18" s="210" t="str"/>
      <x:c r="H18" s="211" t="str"/>
      <x:c r="I18" s="206" t="str">
        <x:v>System</x:v>
      </x:c>
      <x:c r="J18" s="206" t="str">
        <x:v>US-13</x:v>
      </x:c>
      <x:c r="K18" s="206" t="str">
        <x:v>Debezium connector reads PostgreSQL WAL; OrderCreatedEvent reaches expected Kafka topic; eventId and aggregateId are preserved.</x:v>
      </x:c>
      <x:c r="L18" s="206" t="str">
        <x:v>DevOps / Backend Developer</x:v>
      </x:c>
      <x:c r="M18" s="207" t="n">
        <x:v>3</x:v>
      </x:c>
      <x:c r="N18" s="212" t="str">
        <x:v>13.11.2026</x:v>
      </x:c>
    </x:row>
    <x:row r="19" ht="60" customHeight="1">
      <x:c r="A19" s="205" t="n">
        <x:v>15</x:v>
      </x:c>
      <x:c r="B19" s="206" t="str">
        <x:v>Order Query &amp; History API</x:v>
      </x:c>
      <x:c r="C19" s="206" t="str">
        <x:v>As a customer, I want to view my orders and their current status, while operations users can inspect an order by ID for support.</x:v>
      </x:c>
      <x:c r="D19" s="207" t="n">
        <x:v>5</x:v>
      </x:c>
      <x:c r="E19" s="208" t="str"/>
      <x:c r="F19" s="209" t="str">
        <x:v>yes</x:v>
      </x:c>
      <x:c r="G19" s="210" t="str"/>
      <x:c r="H19" s="211" t="str"/>
      <x:c r="I19" s="206" t="str">
        <x:v>Customer / Operations</x:v>
      </x:c>
      <x:c r="J19" s="206" t="str">
        <x:v>US-11, US-12</x:v>
      </x:c>
      <x:c r="K19" s="206" t="str">
        <x:v>Customer sees only own orders; operations role can inspect by ID; response includes items, totals, status and status history.</x:v>
      </x:c>
      <x:c r="L19" s="206" t="str">
        <x:v>Backend Developer</x:v>
      </x:c>
      <x:c r="M19" s="207" t="n">
        <x:v>3</x:v>
      </x:c>
      <x:c r="N19" s="212" t="str">
        <x:v>13.11.2026</x:v>
      </x:c>
    </x:row>
    <x:row r="20" ht="60" customHeight="1">
      <x:c r="A20" s="221" t="n">
        <x:v>16</x:v>
      </x:c>
      <x:c r="B20" s="222" t="str">
        <x:v>Consume OrderCreatedEvent &amp; Create Payment</x:v>
      </x:c>
      <x:c r="C20" s="222" t="str">
        <x:v>As the payment service, I want to consume OrderCreatedEvent and create a local payment record so payment processing is decoupled from Order Service.</x:v>
      </x:c>
      <x:c r="D20" s="223" t="n">
        <x:v>8</x:v>
      </x:c>
      <x:c r="E20" s="224" t="str">
        <x:v>yes</x:v>
      </x:c>
      <x:c r="F20" s="225" t="str"/>
      <x:c r="G20" s="226" t="str"/>
      <x:c r="H20" s="227" t="str"/>
      <x:c r="I20" s="222" t="str">
        <x:v>System</x:v>
      </x:c>
      <x:c r="J20" s="222" t="str">
        <x:v>US-14</x:v>
      </x:c>
      <x:c r="K20" s="222" t="str">
        <x:v>Consumer creates one PENDING payment with orderId, amount and event metadata; invalid payload is rejected and logged.</x:v>
      </x:c>
      <x:c r="L20" s="222" t="str">
        <x:v>Backend Developer</x:v>
      </x:c>
      <x:c r="M20" s="223" t="n">
        <x:v>4</x:v>
      </x:c>
      <x:c r="N20" s="228" t="str">
        <x:v>27.11.2026</x:v>
      </x:c>
    </x:row>
    <x:row r="21" ht="60" customHeight="1">
      <x:c r="A21" s="221" t="n">
        <x:v>17</x:v>
      </x:c>
      <x:c r="B21" s="222" t="str">
        <x:v>Idempotent Payment Event Processing</x:v>
      </x:c>
      <x:c r="C21" s="222" t="str">
        <x:v>As a customer, I want duplicate Kafka deliveries to never trigger duplicate payment processing so I cannot be charged twice.</x:v>
      </x:c>
      <x:c r="D21" s="223" t="n">
        <x:v>8</x:v>
      </x:c>
      <x:c r="E21" s="224" t="str">
        <x:v>yes</x:v>
      </x:c>
      <x:c r="F21" s="225" t="str"/>
      <x:c r="G21" s="226" t="str"/>
      <x:c r="H21" s="227" t="str"/>
      <x:c r="I21" s="222" t="str">
        <x:v>Customer</x:v>
      </x:c>
      <x:c r="J21" s="222" t="str">
        <x:v>US-16</x:v>
      </x:c>
      <x:c r="K21" s="222" t="str">
        <x:v>Same eventId delivered twice results in one payment attempt; processed_events stores the handled event; duplicate is safely acknowledged/skipped.</x:v>
      </x:c>
      <x:c r="L21" s="222" t="str">
        <x:v>Backend Developer</x:v>
      </x:c>
      <x:c r="M21" s="223" t="n">
        <x:v>4</x:v>
      </x:c>
      <x:c r="N21" s="228" t="str">
        <x:v>27.11.2026</x:v>
      </x:c>
    </x:row>
    <x:row r="22" ht="60" customHeight="1">
      <x:c r="A22" s="221" t="n">
        <x:v>18</x:v>
      </x:c>
      <x:c r="B22" s="222" t="str">
        <x:v>Mock Payment Provider via RestClient</x:v>
      </x:c>
      <x:c r="C22" s="222" t="str">
        <x:v>As the payment service, I want to call a mock external payment provider through Spring RestClient so success, decline and timeout scenarios behave like a real integration.</x:v>
      </x:c>
      <x:c r="D22" s="223" t="n">
        <x:v>8</x:v>
      </x:c>
      <x:c r="E22" s="224" t="str">
        <x:v>yes</x:v>
      </x:c>
      <x:c r="F22" s="225" t="str"/>
      <x:c r="G22" s="226" t="str"/>
      <x:c r="H22" s="227" t="str"/>
      <x:c r="I22" s="222" t="str">
        <x:v>System</x:v>
      </x:c>
      <x:c r="J22" s="222" t="str">
        <x:v>US-16, US-17</x:v>
      </x:c>
      <x:c r="K22" s="222" t="str">
        <x:v>Success, decline, timeout and 5xx responses are mapped correctly; provider reference is persisted; secrets are externalized from source control.</x:v>
      </x:c>
      <x:c r="L22" s="222" t="str">
        <x:v>Backend Developer</x:v>
      </x:c>
      <x:c r="M22" s="223" t="n">
        <x:v>4</x:v>
      </x:c>
      <x:c r="N22" s="228" t="str">
        <x:v>27.11.2026</x:v>
      </x:c>
    </x:row>
    <x:row r="23" ht="60" customHeight="1">
      <x:c r="A23" s="221" t="n">
        <x:v>19</x:v>
      </x:c>
      <x:c r="B23" s="222" t="str">
        <x:v>Payment Result Events &amp; Order Update</x:v>
      </x:c>
      <x:c r="C23" s="222" t="str">
        <x:v>As a customer, I want my order status updated after payment succeeds or fails so I always see the current state of the purchase.</x:v>
      </x:c>
      <x:c r="D23" s="223" t="n">
        <x:v>8</x:v>
      </x:c>
      <x:c r="E23" s="224" t="str">
        <x:v>yes</x:v>
      </x:c>
      <x:c r="F23" s="225" t="str"/>
      <x:c r="G23" s="226" t="str"/>
      <x:c r="H23" s="227" t="str"/>
      <x:c r="I23" s="222" t="str">
        <x:v>Customer</x:v>
      </x:c>
      <x:c r="J23" s="222" t="str">
        <x:v>US-12, US-18</x:v>
      </x:c>
      <x:c r="K23" s="222" t="str">
        <x:v>PaymentSucceeded/PaymentFailed event is produced; Order Service consumes it; order transitions to PAID or PAYMENT_FAILED exactly once.</x:v>
      </x:c>
      <x:c r="L23" s="222" t="str">
        <x:v>Backend Developer</x:v>
      </x:c>
      <x:c r="M23" s="223" t="n">
        <x:v>4</x:v>
      </x:c>
      <x:c r="N23" s="228" t="str">
        <x:v>27.11.2026</x:v>
      </x:c>
    </x:row>
    <x:row r="24" ht="60" customHeight="1">
      <x:c r="A24" s="221" t="n">
        <x:v>20</x:v>
      </x:c>
      <x:c r="B24" s="222" t="str">
        <x:v>Retry, Backoff &amp; Dead-Letter Handling</x:v>
      </x:c>
      <x:c r="C24" s="222" t="str">
        <x:v>As an operations engineer, I want transient consumer/provider failures retried with backoff and poison messages isolated so one failure does not block event processing.</x:v>
      </x:c>
      <x:c r="D24" s="223" t="n">
        <x:v>8</x:v>
      </x:c>
      <x:c r="E24" s="224" t="str">
        <x:v>yes</x:v>
      </x:c>
      <x:c r="F24" s="225" t="str"/>
      <x:c r="G24" s="226" t="str"/>
      <x:c r="H24" s="227" t="str"/>
      <x:c r="I24" s="222" t="str">
        <x:v>Operations Engineer</x:v>
      </x:c>
      <x:c r="J24" s="222" t="str">
        <x:v>US-16, US-17, US-18</x:v>
      </x:c>
      <x:c r="K24" s="222" t="str">
        <x:v>Transient failure retries a bounded number of times; unrecoverable message reaches DLQ; replay does not create a duplicate payment.</x:v>
      </x:c>
      <x:c r="L24" s="222" t="str">
        <x:v>Backend / DevOps Developer</x:v>
      </x:c>
      <x:c r="M24" s="223" t="n">
        <x:v>4</x:v>
      </x:c>
      <x:c r="N24" s="228" t="str">
        <x:v>27.11.2026</x:v>
      </x:c>
    </x:row>
    <x:row r="25" ht="60" customHeight="1">
      <x:c r="A25" s="237" t="n">
        <x:v>21</x:v>
      </x:c>
      <x:c r="B25" s="238" t="str">
        <x:v>Central Audit Event Store in MongoDB</x:v>
      </x:c>
      <x:c r="C25" s="238" t="str">
        <x:v>As an auditor, I want business events from Kafka stored in MongoDB so important order and payment changes can be searched later.</x:v>
      </x:c>
      <x:c r="D25" s="239" t="n">
        <x:v>8</x:v>
      </x:c>
      <x:c r="E25" s="240" t="str">
        <x:v>yes</x:v>
      </x:c>
      <x:c r="F25" s="241" t="str"/>
      <x:c r="G25" s="242" t="str"/>
      <x:c r="H25" s="243" t="str"/>
      <x:c r="I25" s="238" t="str">
        <x:v>Auditor</x:v>
      </x:c>
      <x:c r="J25" s="238" t="str">
        <x:v>US-14, US-19</x:v>
      </x:c>
      <x:c r="K25" s="238" t="str">
        <x:v>Audit service consumes order/payment topics; document stores eventId, type, aggregateId, payload, timestamp and correlation metadata.</x:v>
      </x:c>
      <x:c r="L25" s="238" t="str">
        <x:v>Backend Developer</x:v>
      </x:c>
      <x:c r="M25" s="239" t="n">
        <x:v>5</x:v>
      </x:c>
      <x:c r="N25" s="244" t="str">
        <x:v>11.12.2026</x:v>
      </x:c>
    </x:row>
    <x:row r="26" ht="60" customHeight="1">
      <x:c r="A26" s="237" t="n">
        <x:v>22</x:v>
      </x:c>
      <x:c r="B26" s="238" t="str">
        <x:v>Email Notifications</x:v>
      </x:c>
      <x:c r="C26" s="238" t="str">
        <x:v>As a customer, I want email notifications for important order and payment status changes so I know what happened without repeatedly checking the application.</x:v>
      </x:c>
      <x:c r="D26" s="239" t="n">
        <x:v>5</x:v>
      </x:c>
      <x:c r="E26" s="240" t="str"/>
      <x:c r="F26" s="241" t="str">
        <x:v>yes</x:v>
      </x:c>
      <x:c r="G26" s="242" t="str"/>
      <x:c r="H26" s="243" t="str"/>
      <x:c r="I26" s="238" t="str">
        <x:v>Customer</x:v>
      </x:c>
      <x:c r="J26" s="238" t="str">
        <x:v>US-19, US-21</x:v>
      </x:c>
      <x:c r="K26" s="238" t="str">
        <x:v>Relevant event triggers one email through a mock/test mail adapter; duplicate event does not send a duplicate notification.</x:v>
      </x:c>
      <x:c r="L26" s="238" t="str">
        <x:v>Backend Developer</x:v>
      </x:c>
      <x:c r="M26" s="239" t="n">
        <x:v>5</x:v>
      </x:c>
      <x:c r="N26" s="244" t="str">
        <x:v>11.12.2026</x:v>
      </x:c>
    </x:row>
    <x:row r="27" ht="60" customHeight="1">
      <x:c r="A27" s="237" t="n">
        <x:v>23</x:v>
      </x:c>
      <x:c r="B27" s="238" t="str">
        <x:v>Push Notification Adapter</x:v>
      </x:c>
      <x:c r="C27" s="238" t="str">
        <x:v>As a customer, I want push notifications for important status changes so I can receive near-real-time updates on supported devices.</x:v>
      </x:c>
      <x:c r="D27" s="239" t="n">
        <x:v>5</x:v>
      </x:c>
      <x:c r="E27" s="240" t="str"/>
      <x:c r="F27" s="241" t="str"/>
      <x:c r="G27" s="242" t="str"/>
      <x:c r="H27" s="243" t="str">
        <x:v>yes</x:v>
      </x:c>
      <x:c r="I27" s="238" t="str">
        <x:v>Customer</x:v>
      </x:c>
      <x:c r="J27" s="238" t="str">
        <x:v>US-19, US-21</x:v>
      </x:c>
      <x:c r="K27" s="238" t="str">
        <x:v>Mock push adapter receives correct payload; notification is linked to user/order; duplicate business event is deduplicated.</x:v>
      </x:c>
      <x:c r="L27" s="238" t="str">
        <x:v>Backend Developer</x:v>
      </x:c>
      <x:c r="M27" s="239" t="n">
        <x:v>5</x:v>
      </x:c>
      <x:c r="N27" s="244" t="str">
        <x:v>11.12.2026</x:v>
      </x:c>
    </x:row>
    <x:row r="28" ht="60" customHeight="1">
      <x:c r="A28" s="237" t="n">
        <x:v>24</x:v>
      </x:c>
      <x:c r="B28" s="238" t="str">
        <x:v>End-to-End Correlation &amp; Trace Propagation</x:v>
      </x:c>
      <x:c r="C28" s="238" t="str">
        <x:v>As an operations engineer, I want traceId, correlationId and eventId propagated through REST and Kafka so an incident can be followed across all services.</x:v>
      </x:c>
      <x:c r="D28" s="239" t="n">
        <x:v>8</x:v>
      </x:c>
      <x:c r="E28" s="240" t="str">
        <x:v>yes</x:v>
      </x:c>
      <x:c r="F28" s="241" t="str"/>
      <x:c r="G28" s="242" t="str"/>
      <x:c r="H28" s="243" t="str"/>
      <x:c r="I28" s="238" t="str">
        <x:v>Operations Engineer</x:v>
      </x:c>
      <x:c r="J28" s="238" t="str">
        <x:v>US-05, US-14, US-19, US-21</x:v>
      </x:c>
      <x:c r="K28" s="238" t="str">
        <x:v>One purchase can be traced Gateway → Order → Kafka → Payment → Kafka → Audit/Notification with consistent correlation metadata.</x:v>
      </x:c>
      <x:c r="L28" s="238" t="str">
        <x:v>Backend / DevOps Developer</x:v>
      </x:c>
      <x:c r="M28" s="239" t="n">
        <x:v>5</x:v>
      </x:c>
      <x:c r="N28" s="244" t="str">
        <x:v>11.12.2026</x:v>
      </x:c>
    </x:row>
    <x:row r="29" ht="60" customHeight="1">
      <x:c r="A29" s="237" t="n">
        <x:v>25</x:v>
      </x:c>
      <x:c r="B29" s="238" t="str">
        <x:v>Operational Metrics &amp; Alert Signals</x:v>
      </x:c>
      <x:c r="C29" s="238" t="str">
        <x:v>As an operations engineer, I want metrics for latency, errors, cache hit rate, Kafka consumption, payment failures and DLQ size so unhealthy behavior is observable.</x:v>
      </x:c>
      <x:c r="D29" s="239" t="n">
        <x:v>8</x:v>
      </x:c>
      <x:c r="E29" s="240" t="str">
        <x:v>yes</x:v>
      </x:c>
      <x:c r="F29" s="241" t="str"/>
      <x:c r="G29" s="242" t="str"/>
      <x:c r="H29" s="243" t="str"/>
      <x:c r="I29" s="238" t="str">
        <x:v>Operations Engineer</x:v>
      </x:c>
      <x:c r="J29" s="238" t="str">
        <x:v>US-05, US-09, US-20</x:v>
      </x:c>
      <x:c r="K29" s="238" t="str">
        <x:v>Prometheus exposes expected custom metrics; simulated failures change counters; Kafka/DLQ and payment failure signals are visible.</x:v>
      </x:c>
      <x:c r="L29" s="238" t="str">
        <x:v>DevOps / Backend Developer</x:v>
      </x:c>
      <x:c r="M29" s="239" t="n">
        <x:v>5</x:v>
      </x:c>
      <x:c r="N29" s="244" t="str">
        <x:v>11.12.2026</x:v>
      </x:c>
    </x:row>
    <x:row r="30" ht="60" customHeight="1">
      <x:c r="A30" s="253" t="n">
        <x:v>26</x:v>
      </x:c>
      <x:c r="B30" s="254" t="str">
        <x:v>Integration Tests with Testcontainers</x:v>
      </x:c>
      <x:c r="C30" s="254" t="str">
        <x:v>As a developer, I want reproducible integration tests using real infrastructure containers so database, Kafka, Redis and MongoDB behavior is validated before release.</x:v>
      </x:c>
      <x:c r="D30" s="255" t="n">
        <x:v>8</x:v>
      </x:c>
      <x:c r="E30" s="256" t="str">
        <x:v>yes</x:v>
      </x:c>
      <x:c r="F30" s="257" t="str"/>
      <x:c r="G30" s="258" t="str"/>
      <x:c r="H30" s="259" t="str"/>
      <x:c r="I30" s="254" t="str">
        <x:v>Developer</x:v>
      </x:c>
      <x:c r="J30" s="254" t="str">
        <x:v>US-06 through US-25</x:v>
      </x:c>
      <x:c r="K30" s="254" t="str">
        <x:v>Tests start isolated Postgres, Kafka, Redis and MongoDB; key repository/consumer/cache flows pass from a clean environment.</x:v>
      </x:c>
      <x:c r="L30" s="254" t="str">
        <x:v>QA / Backend Developer</x:v>
      </x:c>
      <x:c r="M30" s="255" t="n">
        <x:v>6</x:v>
      </x:c>
      <x:c r="N30" s="260" t="str">
        <x:v>25.12.2026</x:v>
      </x:c>
    </x:row>
    <x:row r="31" ht="60" customHeight="1">
      <x:c r="A31" s="253" t="n">
        <x:v>27</x:v>
      </x:c>
      <x:c r="B31" s="254" t="str">
        <x:v>Contract &amp; Full End-to-End Tests</x:v>
      </x:c>
      <x:c r="C31" s="254" t="str">
        <x:v>As a product owner, I want the complete customer flow automatically verified so authentication, catalog, order, payment, audit and notification work together.</x:v>
      </x:c>
      <x:c r="D31" s="255" t="n">
        <x:v>8</x:v>
      </x:c>
      <x:c r="E31" s="256" t="str">
        <x:v>yes</x:v>
      </x:c>
      <x:c r="F31" s="257" t="str"/>
      <x:c r="G31" s="258" t="str"/>
      <x:c r="H31" s="259" t="str"/>
      <x:c r="I31" s="254" t="str">
        <x:v>Product Owner</x:v>
      </x:c>
      <x:c r="J31" s="254" t="str">
        <x:v>US-26</x:v>
      </x:c>
      <x:c r="K31" s="254" t="str">
        <x:v>Happy path JWT → catalog → order → payment → PAID → audit/notification passes; payment failure path ends in PAYMENT_FAILED and remains consistent.</x:v>
      </x:c>
      <x:c r="L31" s="254" t="str">
        <x:v>QA / Backend Developer</x:v>
      </x:c>
      <x:c r="M31" s="255" t="n">
        <x:v>6</x:v>
      </x:c>
      <x:c r="N31" s="260" t="str">
        <x:v>25.12.2026</x:v>
      </x:c>
    </x:row>
    <x:row r="32" ht="60" customHeight="1">
      <x:c r="A32" s="253" t="n">
        <x:v>28</x:v>
      </x:c>
      <x:c r="B32" s="254" t="str">
        <x:v>Load &amp; Resilience Validation</x:v>
      </x:c>
      <x:c r="C32" s="254" t="str">
        <x:v>As an operations engineer, I want load and failure tests for virtual threads, Redis caching and service restarts so the system demonstrates stable behavior under stress.</x:v>
      </x:c>
      <x:c r="D32" s="255" t="n">
        <x:v>8</x:v>
      </x:c>
      <x:c r="E32" s="256" t="str">
        <x:v>yes</x:v>
      </x:c>
      <x:c r="F32" s="257" t="str"/>
      <x:c r="G32" s="258" t="str"/>
      <x:c r="H32" s="259" t="str"/>
      <x:c r="I32" s="254" t="str">
        <x:v>Operations Engineer</x:v>
      </x:c>
      <x:c r="J32" s="254" t="str">
        <x:v>US-09, US-20, US-26</x:v>
      </x:c>
      <x:c r="K32" s="254" t="str">
        <x:v>Load test records latency/error rate; cache reduces DB reads; temporary service/Kafka interruption recovers without data corruption or duplicate payment.</x:v>
      </x:c>
      <x:c r="L32" s="254" t="str">
        <x:v>QA / DevOps Developer</x:v>
      </x:c>
      <x:c r="M32" s="255" t="n">
        <x:v>6</x:v>
      </x:c>
      <x:c r="N32" s="260" t="str">
        <x:v>25.12.2026</x:v>
      </x:c>
    </x:row>
    <x:row r="33" ht="60" customHeight="1">
      <x:c r="A33" s="253" t="n">
        <x:v>29</x:v>
      </x:c>
      <x:c r="B33" s="254" t="str">
        <x:v>One-Command Full Environment</x:v>
      </x:c>
      <x:c r="C33" s="254" t="str">
        <x:v>As a developer, I want the complete application and infrastructure to start from a clean machine with one Docker Compose command so the project is easy to run and review.</x:v>
      </x:c>
      <x:c r="D33" s="255" t="n">
        <x:v>5</x:v>
      </x:c>
      <x:c r="E33" s="256" t="str"/>
      <x:c r="F33" s="257" t="str">
        <x:v>yes</x:v>
      </x:c>
      <x:c r="G33" s="258" t="str"/>
      <x:c r="H33" s="259" t="str"/>
      <x:c r="I33" s="254" t="str">
        <x:v>Developer</x:v>
      </x:c>
      <x:c r="J33" s="254" t="str">
        <x:v>US-01 through US-25</x:v>
      </x:c>
      <x:c r="K33" s="254" t="str">
        <x:v>docker compose up starts Gateway, Keycloak, services, Postgres, Redis, Kafka, Debezium, MongoDB and observability stack with health checks.</x:v>
      </x:c>
      <x:c r="L33" s="254" t="str">
        <x:v>DevOps Developer</x:v>
      </x:c>
      <x:c r="M33" s="255" t="n">
        <x:v>6</x:v>
      </x:c>
      <x:c r="N33" s="260" t="str">
        <x:v>25.12.2026</x:v>
      </x:c>
    </x:row>
    <x:row r="34" ht="60" customHeight="1">
      <x:c r="A34" s="261" t="n">
        <x:v>30</x:v>
      </x:c>
      <x:c r="B34" s="262" t="str">
        <x:v>API, Architecture Documentation &amp; CI Release</x:v>
      </x:c>
      <x:c r="C34" s="262" t="str">
        <x:v>As a maintainer, I want OpenAPI documentation, architecture/ERD/runbook and an automated CI pipeline so the finished project is understandable, testable and release-ready.</x:v>
      </x:c>
      <x:c r="D34" s="263" t="n">
        <x:v>5</x:v>
      </x:c>
      <x:c r="E34" s="264" t="str"/>
      <x:c r="F34" s="265" t="str">
        <x:v>yes</x:v>
      </x:c>
      <x:c r="G34" s="266" t="str"/>
      <x:c r="H34" s="267" t="str"/>
      <x:c r="I34" s="262" t="str">
        <x:v>Maintainer</x:v>
      </x:c>
      <x:c r="J34" s="262" t="str">
        <x:v>US-26, US-27, US-29</x:v>
      </x:c>
      <x:c r="K34" s="262" t="str">
        <x:v>Fresh clone builds in CI; tests pass; OpenAPI is reachable; README contains setup and demo flow; architecture, ERD and operational runbook are linked.</x:v>
      </x:c>
      <x:c r="L34" s="262" t="str">
        <x:v>Backend / DevOps Developer</x:v>
      </x:c>
      <x:c r="M34" s="263" t="n">
        <x:v>6</x:v>
      </x:c>
      <x:c r="N34" s="268" t="str">
        <x:v>25.12.2026</x:v>
      </x:c>
    </x:row>
    <x:row r="37">
      <x:c r="A37" s="325" t="str">
        <x:v>Remarks:</x:v>
      </x:c>
      <x:c r="B37" s="326" t="str">
        <x:v>HC&amp;HV</x:v>
      </x:c>
      <x:c r="C37" s="327" t="str">
        <x:v>High Cost &amp; High Value</x:v>
      </x:c>
      <x:c r="D37" s="328" t="str">
        <x:v>Do Later</x:v>
      </x:c>
    </x:row>
    <x:row r="38">
      <x:c r="A38" s="329"/>
      <x:c r="B38" s="330" t="str">
        <x:v>LC&amp;HV</x:v>
      </x:c>
      <x:c r="C38" s="331" t="str">
        <x:v>Low Cost &amp; High Value</x:v>
      </x:c>
      <x:c r="D38" s="332" t="str">
        <x:v>Do Now</x:v>
      </x:c>
    </x:row>
    <x:row r="39">
      <x:c r="A39" s="329"/>
      <x:c r="B39" s="333" t="str">
        <x:v>HC&amp;LV</x:v>
      </x:c>
      <x:c r="C39" s="334" t="str">
        <x:v>High Cost &amp; Low Value</x:v>
      </x:c>
      <x:c r="D39" s="335" t="str">
        <x:v>Never Do</x:v>
      </x:c>
    </x:row>
    <x:row r="40">
      <x:c r="A40" s="336"/>
      <x:c r="B40" s="337" t="str">
        <x:v>LC&amp;LV</x:v>
      </x:c>
      <x:c r="C40" s="338" t="str">
        <x:v>Low Cost &amp; Low Value</x:v>
      </x:c>
      <x:c r="D40" s="339" t="str">
        <x:v>Do much Later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12" hidden="0" customWidth="1"/>
    <x:col min="4" max="4" width="14" hidden="0" customWidth="1"/>
    <x:col min="5" max="5" width="14" hidden="0" customWidth="1"/>
    <x:col min="6" max="6" width="48" hidden="0" customWidth="1"/>
  </x:cols>
  <x:sheetData>
    <x:row r="1" ht="30" customHeight="1">
      <x:c r="A1" s="5" t="str">
        <x:v>6-Sprint Delivery Roadmap</x:v>
      </x:c>
      <x:c r="B1" s="5"/>
      <x:c r="C1" s="5"/>
      <x:c r="D1" s="5"/>
      <x:c r="E1" s="5"/>
      <x:c r="F1" s="5"/>
    </x:row>
    <x:row r="3">
      <x:c r="A3" s="359" t="str">
        <x:v>Sprint</x:v>
      </x:c>
      <x:c r="B3" s="360" t="str">
        <x:v>Goal</x:v>
      </x:c>
      <x:c r="C3" s="360" t="str">
        <x:v>Stories</x:v>
      </x:c>
      <x:c r="D3" s="360" t="str">
        <x:v>Story Points</x:v>
      </x:c>
      <x:c r="E3" s="360" t="str">
        <x:v>Deadline</x:v>
      </x:c>
      <x:c r="F3" s="361" t="str">
        <x:v>Exit Condition</x:v>
      </x:c>
    </x:row>
    <x:row r="4" ht="56" customHeight="1">
      <x:c r="A4" s="401" t="str">
        <x:v>Sprint 1</x:v>
      </x:c>
      <x:c r="B4" s="375" t="str">
        <x:v>Platform foundation, authentication, authorization, gateway and observability.</x:v>
      </x:c>
      <x:c r="C4" s="407" t="n">
        <x:f>COUNTIF('User Stories'!$M$5:$M$34,1)</x:f>
        <x:v>5</x:v>
      </x:c>
      <x:c r="D4" s="407" t="n">
        <x:f>SUMIF('User Stories'!$M$5:$M$34,1,'User Stories'!$D$5:$D$34)</x:f>
        <x:v>31</x:v>
      </x:c>
      <x:c r="E4" s="408" t="str">
        <x:v>16.10.2026</x:v>
      </x:c>
      <x:c r="F4" s="376" t="str">
        <x:v>All services boot; Keycloak + Gateway security works; metrics/tracing visible.</x:v>
      </x:c>
    </x:row>
    <x:row r="5" ht="56" customHeight="1">
      <x:c r="A5" s="402" t="str">
        <x:v>Sprint 2</x:v>
      </x:c>
      <x:c r="B5" s="78" t="str">
        <x:v>Complete Catalog Service with PostgreSQL/Flyway, optimized reads, Redis and Spring Batch.</x:v>
      </x:c>
      <x:c r="C5" s="116" t="n">
        <x:f>COUNTIF('User Stories'!$M$5:$M$34,2)</x:f>
        <x:v>5</x:v>
      </x:c>
      <x:c r="D5" s="116" t="n">
        <x:f>SUMIF('User Stories'!$M$5:$M$34,2,'User Stories'!$D$5:$D$34)</x:f>
        <x:v>34</x:v>
      </x:c>
      <x:c r="E5" s="409" t="str">
        <x:v>30.10.2026</x:v>
      </x:c>
      <x:c r="F5" s="378" t="str">
        <x:v>Admin can manage/import catalog; customer can browse; cache behavior is verified.</x:v>
      </x:c>
    </x:row>
    <x:row r="6" ht="56" customHeight="1">
      <x:c r="A6" s="402" t="str">
        <x:v>Sprint 3</x:v>
      </x:c>
      <x:c r="B6" s="78" t="str">
        <x:v>Complete Order Service lifecycle, transactional outbox and Debezium → Kafka event publication.</x:v>
      </x:c>
      <x:c r="C6" s="116" t="n">
        <x:f>COUNTIF('User Stories'!$M$5:$M$34,3)</x:f>
        <x:v>5</x:v>
      </x:c>
      <x:c r="D6" s="116" t="n">
        <x:f>SUMIF('User Stories'!$M$5:$M$34,3,'User Stories'!$D$5:$D$34)</x:f>
        <x:v>37</x:v>
      </x:c>
      <x:c r="E6" s="409" t="str">
        <x:v>13.11.2026</x:v>
      </x:c>
      <x:c r="F6" s="378" t="str">
        <x:v>Customer can create/query order; OrderCreatedEvent is reliably published to Kafka.</x:v>
      </x:c>
    </x:row>
    <x:row r="7" ht="56" customHeight="1">
      <x:c r="A7" s="402" t="str">
        <x:v>Sprint 4</x:v>
      </x:c>
      <x:c r="B7" s="78" t="str">
        <x:v>Complete Payment Service with idempotency, mock provider, result events and failure handling.</x:v>
      </x:c>
      <x:c r="C7" s="116" t="n">
        <x:f>COUNTIF('User Stories'!$M$5:$M$34,4)</x:f>
        <x:v>5</x:v>
      </x:c>
      <x:c r="D7" s="116" t="n">
        <x:f>SUMIF('User Stories'!$M$5:$M$34,4,'User Stories'!$D$5:$D$34)</x:f>
        <x:v>40</x:v>
      </x:c>
      <x:c r="E7" s="409" t="str">
        <x:v>27.11.2026</x:v>
      </x:c>
      <x:c r="F7" s="378" t="str">
        <x:v>OrderCreatedEvent triggers one payment; order reaches PAID/PAYMENT_FAILED; retries/DLQ work.</x:v>
      </x:c>
    </x:row>
    <x:row r="8" ht="56" customHeight="1">
      <x:c r="A8" s="402" t="str">
        <x:v>Sprint 5</x:v>
      </x:c>
      <x:c r="B8" s="78" t="str">
        <x:v>Complete Audit/Notification flows and operational correlation/metrics.</x:v>
      </x:c>
      <x:c r="C8" s="116" t="n">
        <x:f>COUNTIF('User Stories'!$M$5:$M$34,5)</x:f>
        <x:v>5</x:v>
      </x:c>
      <x:c r="D8" s="116" t="n">
        <x:f>SUMIF('User Stories'!$M$5:$M$34,5,'User Stories'!$D$5:$D$34)</x:f>
        <x:v>34</x:v>
      </x:c>
      <x:c r="E8" s="409" t="str">
        <x:v>11.12.2026</x:v>
      </x:c>
      <x:c r="F8" s="378" t="str">
        <x:v>Business events are audited; email/push adapters work; full flow is traceable and measurable.</x:v>
      </x:c>
    </x:row>
    <x:row r="9" ht="56" customHeight="1">
      <x:c r="A9" s="403" t="str">
        <x:v>Sprint 6</x:v>
      </x:c>
      <x:c r="B9" s="380" t="str">
        <x:v>Testing, load/resilience validation, one-command deployment, documentation and CI release.</x:v>
      </x:c>
      <x:c r="C9" s="410" t="n">
        <x:f>COUNTIF('User Stories'!$M$5:$M$34,6)</x:f>
        <x:v>5</x:v>
      </x:c>
      <x:c r="D9" s="410" t="n">
        <x:f>SUMIF('User Stories'!$M$5:$M$34,6,'User Stories'!$D$5:$D$34)</x:f>
        <x:v>34</x:v>
      </x:c>
      <x:c r="E9" s="411" t="str">
        <x:v>25.12.2026</x:v>
      </x:c>
      <x:c r="F9" s="381" t="str">
        <x:v>Fresh clone can start full stack; automated tests pass; project is documented and demo-ready.</x:v>
      </x:c>
    </x:row>
    <x:row r="11">
      <x:c r="A11" s="421" t="str">
        <x:v>Planning rule</x:v>
      </x:c>
      <x:c r="B11" s="422" t="str">
        <x:v>Meaning</x:v>
      </x:c>
    </x:row>
    <x:row r="12">
      <x:c r="A12" s="329" t="str">
        <x:v>Priority model</x:v>
      </x:c>
      <x:c r="B12" s="371" t="str">
        <x:v>HC&amp;HV / LC&amp;HV / HC&amp;LV / LC&amp;LV follows the supplied template.</x:v>
      </x:c>
    </x:row>
    <x:row r="13">
      <x:c r="A13" s="329" t="str">
        <x:v>Sprint length</x:v>
      </x:c>
      <x:c r="B13" s="371" t="str">
        <x:v>Assumed 2 weeks per sprint, starting 05.10.2026.</x:v>
      </x:c>
    </x:row>
    <x:row r="14">
      <x:c r="A14" s="336" t="str">
        <x:v>Release target</x:v>
      </x:c>
      <x:c r="B14" s="373" t="str">
        <x:v>At the end of Sprint 6 the full project is runnable, tested, observable and documented.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41ec1b602d0d406b"/>
</x:worksheet>
</file>